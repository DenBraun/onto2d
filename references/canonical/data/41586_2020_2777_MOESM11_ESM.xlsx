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560" yWindow="560" windowWidth="25040" windowHeight="15500" tabRatio="805"/>
  </bookViews>
  <sheets>
    <sheet name="4a" sheetId="8" r:id="rId1"/>
    <sheet name="4c" sheetId="4" r:id="rId2"/>
    <sheet name="4e" sheetId="5" r:id="rId3"/>
    <sheet name="4f" sheetId="9" r:id="rId4"/>
    <sheet name="4g" sheetId="6" r:id="rId5"/>
    <sheet name="4h" sheetId="2" r:id="rId6"/>
    <sheet name="4i" sheetId="3" r:id="rId7"/>
    <sheet name="4j" sheetId="7" r:id="rId8"/>
    <sheet name="4k" sheetId="10" r:id="rId9"/>
    <sheet name="4l" sheetId="11" r:id="rId10"/>
    <sheet name="4m" sheetId="12" r:id="rId1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6" i="8" l="1"/>
  <c r="N6" i="8"/>
  <c r="J6" i="8"/>
  <c r="F6" i="8"/>
  <c r="R5" i="8"/>
  <c r="N5" i="8"/>
  <c r="J5" i="8"/>
  <c r="F5" i="8"/>
  <c r="R4" i="8"/>
  <c r="N4" i="8"/>
  <c r="J4" i="8"/>
  <c r="F4" i="8"/>
</calcChain>
</file>

<file path=xl/sharedStrings.xml><?xml version="1.0" encoding="utf-8"?>
<sst xmlns="http://schemas.openxmlformats.org/spreadsheetml/2006/main" count="106" uniqueCount="52">
  <si>
    <t>Control</t>
  </si>
  <si>
    <t>Adenosine (measured in relative fluorescence units)</t>
  </si>
  <si>
    <t xml:space="preserve">Percentage of mice with seiures in response to: </t>
  </si>
  <si>
    <t>Cd39 Fl/fl Cx3cr1 Cre</t>
  </si>
  <si>
    <t>Seizure</t>
  </si>
  <si>
    <t>No seizure</t>
  </si>
  <si>
    <t>Total</t>
  </si>
  <si>
    <t>seizure</t>
  </si>
  <si>
    <t>Percentage of wild type mice with seizures in response to coadministration of P2ry12 antagonist, D1 agonist, and A1 agonist</t>
  </si>
  <si>
    <t>D1 agonist</t>
  </si>
  <si>
    <t>P2RY12 antagonist + D1 agonist</t>
  </si>
  <si>
    <t>Il34 fl/fl</t>
  </si>
  <si>
    <t>Il34 fl/fl Drd1a Cre/+</t>
  </si>
  <si>
    <t>active P2RY12 antagonist + D1 agonist</t>
  </si>
  <si>
    <t>inactive P2RY12 antagonist + D1 agonist</t>
  </si>
  <si>
    <t>IL34 fl/fl</t>
  </si>
  <si>
    <t>IL34 fl/fl D1 cre+</t>
  </si>
  <si>
    <t>4j</t>
  </si>
  <si>
    <t>ATP (µM)</t>
  </si>
  <si>
    <t>ADP (µM)</t>
  </si>
  <si>
    <t>AMP (µM)</t>
  </si>
  <si>
    <t>adenosine (µM)</t>
  </si>
  <si>
    <t>mean</t>
  </si>
  <si>
    <t>ADO</t>
  </si>
  <si>
    <t>control</t>
  </si>
  <si>
    <t>Baseline</t>
  </si>
  <si>
    <t>Converted to nM</t>
  </si>
  <si>
    <t>Percentage of mice with seizures in response to D1 agonist</t>
  </si>
  <si>
    <t>P2ry12-/-</t>
  </si>
  <si>
    <t>no seizure</t>
  </si>
  <si>
    <t>Percentage of  mice with seizures in response to D1 agonist</t>
  </si>
  <si>
    <t>Adora1 fl/fl</t>
  </si>
  <si>
    <t>Adora1fl/fl Drd1a Cre/+</t>
  </si>
  <si>
    <t>GLUR1 ser845 norm to total GLUR1 (same blot)</t>
  </si>
  <si>
    <t>DARPP32 thr34 norm to total DARPP32 (same blot)</t>
  </si>
  <si>
    <t>DARPP32 thr75 norm to total DARPP32 (same blot)</t>
  </si>
  <si>
    <t>Adenosine (ng/mL) in dialysate collection from control and microglia deficient mice (n=5)</t>
  </si>
  <si>
    <t>Group</t>
  </si>
  <si>
    <t>Mouse</t>
  </si>
  <si>
    <t>ATP 60 min</t>
  </si>
  <si>
    <t>ATP + CD39i 60 min</t>
  </si>
  <si>
    <t>ATP + CD73i 60 min</t>
  </si>
  <si>
    <t>D1 agonist + A1R agonist</t>
  </si>
  <si>
    <t>Percentage of mice with seizures in response to coadministration of D1 agonist and A1R agonist</t>
  </si>
  <si>
    <t>Percentage of wild type mice with seizures in response to coadministration of P2ry12 antagonist, D1 agonist, and A1R agonist</t>
  </si>
  <si>
    <t>P2RY12 antagonist + D1 agonist + A1R agonist</t>
  </si>
  <si>
    <t>A1R antagonist</t>
  </si>
  <si>
    <t>D1 agonist + A1R antagonist</t>
  </si>
  <si>
    <t>Percentage of wild type mice with seizures in response to D1 agonist and A1R antagonist</t>
  </si>
  <si>
    <t>Cd39fl/fl Cx3cr1 cre ert2</t>
  </si>
  <si>
    <t>brain impermeable P2RY12 antagonist + D1 agonist</t>
  </si>
  <si>
    <t>microglia deficient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</si>
</sst>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2"/>
      <color theme="1"/>
      <name val="Calibri"/>
      <family val="2"/>
      <scheme val="minor"/>
    </font>
    <font>
      <sz val="9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 (Body)"/>
    </font>
    <font>
      <sz val="12"/>
      <name val="Calibri (Body)"/>
    </font>
    <font>
      <sz val="12"/>
      <color rgb="FF000000"/>
      <name val="Calibri"/>
      <family val="2"/>
      <scheme val="minor"/>
    </font>
    <font>
      <sz val="12"/>
      <name val="Arial"/>
      <family val="2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i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0" fontId="6" fillId="0" borderId="3" xfId="0" applyFont="1" applyBorder="1"/>
    <xf numFmtId="0" fontId="6" fillId="0" borderId="2" xfId="0" applyFont="1" applyBorder="1"/>
    <xf numFmtId="0" fontId="6" fillId="0" borderId="4" xfId="0" applyFont="1" applyBorder="1"/>
    <xf numFmtId="0" fontId="0" fillId="0" borderId="1" xfId="0" applyBorder="1"/>
    <xf numFmtId="0" fontId="6" fillId="0" borderId="5" xfId="0" applyFont="1" applyBorder="1"/>
    <xf numFmtId="0" fontId="6" fillId="0" borderId="1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0" xfId="0" applyFont="1" applyAlignment="1">
      <alignment wrapText="1"/>
    </xf>
    <xf numFmtId="0" fontId="7" fillId="0" borderId="3" xfId="0" applyFont="1" applyBorder="1" applyAlignment="1">
      <alignment horizontal="center" wrapText="1"/>
    </xf>
    <xf numFmtId="0" fontId="6" fillId="0" borderId="1" xfId="0" applyFont="1" applyFill="1" applyBorder="1"/>
    <xf numFmtId="0" fontId="7" fillId="0" borderId="1" xfId="0" applyFont="1" applyBorder="1" applyAlignment="1">
      <alignment horizontal="center" wrapText="1"/>
    </xf>
    <xf numFmtId="0" fontId="6" fillId="0" borderId="3" xfId="0" applyFont="1" applyBorder="1" applyAlignment="1"/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2" xfId="0" applyBorder="1"/>
    <xf numFmtId="164" fontId="0" fillId="0" borderId="8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6" fillId="0" borderId="4" xfId="0" applyFont="1" applyBorder="1" applyAlignment="1">
      <alignment wrapText="1"/>
    </xf>
    <xf numFmtId="0" fontId="6" fillId="0" borderId="0" xfId="0" applyFont="1" applyAlignment="1"/>
    <xf numFmtId="0" fontId="0" fillId="0" borderId="0" xfId="0" applyAlignment="1"/>
    <xf numFmtId="0" fontId="10" fillId="0" borderId="0" xfId="0" applyFont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1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6"/>
  <sheetViews>
    <sheetView tabSelected="1" workbookViewId="0">
      <selection activeCell="Y19" sqref="Y19"/>
    </sheetView>
  </sheetViews>
  <sheetFormatPr baseColWidth="10" defaultRowHeight="15" x14ac:dyDescent="0"/>
  <cols>
    <col min="2" max="2" width="17.1640625" bestFit="1" customWidth="1"/>
  </cols>
  <sheetData>
    <row r="2" spans="2:18">
      <c r="C2" s="35" t="s">
        <v>18</v>
      </c>
      <c r="D2" s="36"/>
      <c r="E2" s="36"/>
      <c r="F2" s="36"/>
      <c r="G2" s="37" t="s">
        <v>19</v>
      </c>
      <c r="H2" s="38"/>
      <c r="I2" s="38"/>
      <c r="J2" s="38"/>
      <c r="K2" s="39" t="s">
        <v>20</v>
      </c>
      <c r="L2" s="40"/>
      <c r="M2" s="40"/>
      <c r="N2" s="40"/>
      <c r="O2" s="41" t="s">
        <v>21</v>
      </c>
      <c r="P2" s="42"/>
      <c r="Q2" s="42"/>
      <c r="R2" s="42"/>
    </row>
    <row r="3" spans="2:18">
      <c r="C3" s="22">
        <v>1</v>
      </c>
      <c r="D3" s="22">
        <v>2</v>
      </c>
      <c r="E3" s="22">
        <v>3</v>
      </c>
      <c r="F3" s="23" t="s">
        <v>22</v>
      </c>
      <c r="G3" s="22">
        <v>1</v>
      </c>
      <c r="H3" s="22">
        <v>2</v>
      </c>
      <c r="I3" s="22">
        <v>3</v>
      </c>
      <c r="J3" s="23" t="s">
        <v>22</v>
      </c>
      <c r="K3" s="22">
        <v>1</v>
      </c>
      <c r="L3" s="22">
        <v>2</v>
      </c>
      <c r="M3" s="22">
        <v>3</v>
      </c>
      <c r="N3" s="23" t="s">
        <v>22</v>
      </c>
      <c r="O3" s="22">
        <v>1</v>
      </c>
      <c r="P3" s="22">
        <v>2</v>
      </c>
      <c r="Q3" s="22">
        <v>3</v>
      </c>
      <c r="R3" s="23" t="s">
        <v>22</v>
      </c>
    </row>
    <row r="4" spans="2:18">
      <c r="B4" s="24" t="s">
        <v>39</v>
      </c>
      <c r="C4" s="25">
        <v>55.589872869677492</v>
      </c>
      <c r="D4" s="26">
        <v>57.575831761107807</v>
      </c>
      <c r="E4" s="26">
        <v>67.220756809968051</v>
      </c>
      <c r="F4" s="27">
        <f t="shared" ref="F4:F6" si="0">AVERAGE(C4:E4)</f>
        <v>60.128820480251115</v>
      </c>
      <c r="G4" s="25">
        <v>26.096883643827255</v>
      </c>
      <c r="H4" s="26">
        <v>23.613224067460887</v>
      </c>
      <c r="I4" s="26">
        <v>29.545932596216176</v>
      </c>
      <c r="J4" s="27">
        <f t="shared" ref="J4:J6" si="1">AVERAGE(G4:I4)</f>
        <v>26.41868010250144</v>
      </c>
      <c r="K4" s="25">
        <v>36.365408525159893</v>
      </c>
      <c r="L4" s="26">
        <v>34.66023963388956</v>
      </c>
      <c r="M4" s="26">
        <v>42.187131872971086</v>
      </c>
      <c r="N4" s="27">
        <f t="shared" ref="N4:N6" si="2">AVERAGE(K4:M4)</f>
        <v>37.737593344006847</v>
      </c>
      <c r="O4" s="26">
        <v>1.5726434091235488</v>
      </c>
      <c r="P4" s="26">
        <v>0.75462942050215354</v>
      </c>
      <c r="Q4" s="26">
        <v>1.1573917459359793</v>
      </c>
      <c r="R4" s="27">
        <f t="shared" ref="R4:R6" si="3">AVERAGE(O4:Q4)</f>
        <v>1.1615548585205604</v>
      </c>
    </row>
    <row r="5" spans="2:18">
      <c r="B5" s="24" t="s">
        <v>40</v>
      </c>
      <c r="C5" s="25">
        <v>74.359539530364387</v>
      </c>
      <c r="D5" s="26">
        <v>71.873876976223784</v>
      </c>
      <c r="E5" s="26">
        <v>81.096281668573198</v>
      </c>
      <c r="F5" s="27">
        <f t="shared" si="0"/>
        <v>75.776566058387132</v>
      </c>
      <c r="G5" s="25">
        <v>19.275943567900931</v>
      </c>
      <c r="H5" s="26">
        <v>18.983978194265038</v>
      </c>
      <c r="I5" s="26">
        <v>22.708147025494434</v>
      </c>
      <c r="J5" s="27">
        <f t="shared" si="1"/>
        <v>20.322689595886803</v>
      </c>
      <c r="K5" s="25">
        <v>20.524961000731718</v>
      </c>
      <c r="L5" s="26">
        <v>18.307914950331835</v>
      </c>
      <c r="M5" s="26">
        <v>22.133315666613409</v>
      </c>
      <c r="N5" s="27">
        <f t="shared" si="2"/>
        <v>20.322063872558989</v>
      </c>
      <c r="O5" s="26">
        <v>0.54114272983907996</v>
      </c>
      <c r="P5" s="26">
        <v>0</v>
      </c>
      <c r="Q5" s="26">
        <v>0</v>
      </c>
      <c r="R5" s="27">
        <f t="shared" si="3"/>
        <v>0.18038090994636</v>
      </c>
    </row>
    <row r="6" spans="2:18">
      <c r="B6" s="24" t="s">
        <v>41</v>
      </c>
      <c r="C6" s="25">
        <v>51.30526732851321</v>
      </c>
      <c r="D6" s="26">
        <v>45.229471746095399</v>
      </c>
      <c r="E6" s="26">
        <v>50.400456838679979</v>
      </c>
      <c r="F6" s="27">
        <f t="shared" si="0"/>
        <v>48.978398637762865</v>
      </c>
      <c r="G6" s="25">
        <v>24.161159864478261</v>
      </c>
      <c r="H6" s="26">
        <v>24.266610737785573</v>
      </c>
      <c r="I6" s="26">
        <v>28.321338189415176</v>
      </c>
      <c r="J6" s="27">
        <f t="shared" si="1"/>
        <v>25.583036263893003</v>
      </c>
      <c r="K6" s="25">
        <v>39.308505548039399</v>
      </c>
      <c r="L6" s="26">
        <v>37.33284957697299</v>
      </c>
      <c r="M6" s="26">
        <v>43.50638457071819</v>
      </c>
      <c r="N6" s="27">
        <f t="shared" si="2"/>
        <v>40.049246565243521</v>
      </c>
      <c r="O6" s="26">
        <v>0.5</v>
      </c>
      <c r="P6" s="26">
        <v>0.48107795927803376</v>
      </c>
      <c r="Q6" s="26">
        <v>0</v>
      </c>
      <c r="R6" s="27">
        <f t="shared" si="3"/>
        <v>0.32702598642601127</v>
      </c>
    </row>
  </sheetData>
  <mergeCells count="4">
    <mergeCell ref="C2:F2"/>
    <mergeCell ref="G2:J2"/>
    <mergeCell ref="K2:N2"/>
    <mergeCell ref="O2:R2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H28" sqref="H28"/>
    </sheetView>
  </sheetViews>
  <sheetFormatPr baseColWidth="10" defaultRowHeight="15" x14ac:dyDescent="0"/>
  <cols>
    <col min="1" max="1" width="17.1640625" customWidth="1"/>
    <col min="8" max="8" width="16.33203125" bestFit="1" customWidth="1"/>
  </cols>
  <sheetData>
    <row r="1" spans="1:10">
      <c r="A1" t="s">
        <v>36</v>
      </c>
      <c r="H1" t="s">
        <v>26</v>
      </c>
    </row>
    <row r="4" spans="1:10">
      <c r="A4" s="28" t="s">
        <v>23</v>
      </c>
      <c r="B4" s="6"/>
      <c r="C4" s="6"/>
      <c r="H4" s="28" t="s">
        <v>23</v>
      </c>
      <c r="I4" s="6"/>
      <c r="J4" s="6"/>
    </row>
    <row r="5" spans="1:10">
      <c r="A5" s="6" t="s">
        <v>37</v>
      </c>
      <c r="B5" s="6" t="s">
        <v>38</v>
      </c>
      <c r="C5" s="6" t="s">
        <v>25</v>
      </c>
      <c r="H5" s="6" t="s">
        <v>37</v>
      </c>
      <c r="I5" s="6" t="s">
        <v>38</v>
      </c>
      <c r="J5" s="6" t="s">
        <v>25</v>
      </c>
    </row>
    <row r="6" spans="1:10">
      <c r="A6" s="6" t="s">
        <v>24</v>
      </c>
      <c r="B6" s="30">
        <v>1</v>
      </c>
      <c r="C6" s="29">
        <v>51.55</v>
      </c>
      <c r="H6" s="6" t="s">
        <v>24</v>
      </c>
      <c r="I6" s="30">
        <v>1</v>
      </c>
      <c r="J6">
        <v>192.89027340714333</v>
      </c>
    </row>
    <row r="7" spans="1:10">
      <c r="A7" s="6" t="s">
        <v>24</v>
      </c>
      <c r="B7" s="30">
        <v>2</v>
      </c>
      <c r="C7" s="29">
        <v>43.79</v>
      </c>
      <c r="H7" s="6" t="s">
        <v>24</v>
      </c>
      <c r="I7" s="30">
        <v>2</v>
      </c>
      <c r="J7">
        <v>163.84813858201613</v>
      </c>
    </row>
    <row r="8" spans="1:10">
      <c r="A8" s="6" t="s">
        <v>24</v>
      </c>
      <c r="B8" s="30">
        <v>3</v>
      </c>
      <c r="C8" s="29">
        <v>74.36</v>
      </c>
      <c r="H8" s="6" t="s">
        <v>24</v>
      </c>
      <c r="I8" s="30">
        <v>3</v>
      </c>
      <c r="J8">
        <v>278.23631730583406</v>
      </c>
    </row>
    <row r="9" spans="1:10">
      <c r="A9" s="6" t="s">
        <v>24</v>
      </c>
      <c r="B9" s="30">
        <v>4</v>
      </c>
      <c r="C9" s="29">
        <v>181.72</v>
      </c>
      <c r="H9" s="6" t="s">
        <v>24</v>
      </c>
      <c r="I9" s="30">
        <v>4</v>
      </c>
      <c r="J9">
        <v>679.99571477937582</v>
      </c>
    </row>
    <row r="10" spans="1:10">
      <c r="A10" s="6" t="s">
        <v>24</v>
      </c>
      <c r="B10" s="30">
        <v>5</v>
      </c>
      <c r="C10" s="29">
        <v>42.43</v>
      </c>
      <c r="H10" s="6" t="s">
        <v>24</v>
      </c>
      <c r="I10" s="30">
        <v>5</v>
      </c>
      <c r="J10">
        <v>158.77789162258122</v>
      </c>
    </row>
    <row r="11" spans="1:10">
      <c r="A11" s="6"/>
      <c r="B11" s="30"/>
      <c r="C11" s="29"/>
      <c r="H11" s="6"/>
      <c r="I11" s="30"/>
    </row>
    <row r="12" spans="1:10">
      <c r="A12" s="6" t="s">
        <v>51</v>
      </c>
      <c r="B12" s="30">
        <v>1</v>
      </c>
      <c r="C12" s="29">
        <v>3.45</v>
      </c>
      <c r="H12" s="6" t="s">
        <v>51</v>
      </c>
      <c r="I12" s="30">
        <v>1</v>
      </c>
      <c r="J12">
        <v>12.913291970569512</v>
      </c>
    </row>
    <row r="13" spans="1:10">
      <c r="A13" s="6" t="s">
        <v>51</v>
      </c>
      <c r="B13" s="30">
        <v>2</v>
      </c>
      <c r="C13" s="29">
        <v>2.8</v>
      </c>
      <c r="H13" s="6" t="s">
        <v>51</v>
      </c>
      <c r="I13" s="30">
        <v>2</v>
      </c>
      <c r="J13">
        <v>10.463310862084519</v>
      </c>
    </row>
    <row r="14" spans="1:10">
      <c r="A14" s="6" t="s">
        <v>51</v>
      </c>
      <c r="B14" s="30">
        <v>3</v>
      </c>
      <c r="C14" s="29">
        <v>16.79</v>
      </c>
      <c r="H14" s="6" t="s">
        <v>51</v>
      </c>
      <c r="I14" s="30">
        <v>3</v>
      </c>
      <c r="J14">
        <v>62.810752086220695</v>
      </c>
    </row>
    <row r="15" spans="1:10">
      <c r="A15" s="6" t="s">
        <v>51</v>
      </c>
      <c r="B15" s="30">
        <v>4</v>
      </c>
      <c r="C15" s="29">
        <v>10.68</v>
      </c>
      <c r="H15" s="6" t="s">
        <v>51</v>
      </c>
      <c r="I15" s="30">
        <v>4</v>
      </c>
      <c r="J15">
        <v>39.967444504281254</v>
      </c>
    </row>
    <row r="16" spans="1:10">
      <c r="A16" s="6" t="s">
        <v>51</v>
      </c>
      <c r="B16" s="30">
        <v>5</v>
      </c>
      <c r="C16" s="29">
        <v>26.12</v>
      </c>
      <c r="H16" s="6" t="s">
        <v>51</v>
      </c>
      <c r="I16" s="30">
        <v>5</v>
      </c>
      <c r="J16">
        <v>97.73837245527136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E20" sqref="E20"/>
    </sheetView>
  </sheetViews>
  <sheetFormatPr baseColWidth="10" defaultRowHeight="15" x14ac:dyDescent="0"/>
  <cols>
    <col min="1" max="1" width="12" bestFit="1" customWidth="1"/>
    <col min="2" max="2" width="12.1640625" bestFit="1" customWidth="1"/>
    <col min="3" max="3" width="20.83203125" customWidth="1"/>
    <col min="7" max="7" width="21.6640625" customWidth="1"/>
  </cols>
  <sheetData>
    <row r="1" spans="1:3">
      <c r="B1" s="32" t="s">
        <v>33</v>
      </c>
      <c r="C1" s="32"/>
    </row>
    <row r="2" spans="1:3">
      <c r="B2" s="2" t="s">
        <v>15</v>
      </c>
      <c r="C2" s="2" t="s">
        <v>16</v>
      </c>
    </row>
    <row r="3" spans="1:3">
      <c r="B3" s="1">
        <v>0.97945872</v>
      </c>
      <c r="C3" s="1">
        <v>1.1814764499999999</v>
      </c>
    </row>
    <row r="4" spans="1:3">
      <c r="B4" s="1">
        <v>1.0049919190000001</v>
      </c>
      <c r="C4" s="1">
        <v>1.7528694419999999</v>
      </c>
    </row>
    <row r="5" spans="1:3">
      <c r="B5" s="1">
        <v>1.0548783989999999</v>
      </c>
      <c r="C5" s="1">
        <v>1.245533851</v>
      </c>
    </row>
    <row r="6" spans="1:3">
      <c r="B6" s="1">
        <v>1.0419359749999999</v>
      </c>
      <c r="C6" s="1">
        <v>1.314117706</v>
      </c>
    </row>
    <row r="7" spans="1:3">
      <c r="B7" s="1">
        <v>0.918734987</v>
      </c>
      <c r="C7" s="1"/>
    </row>
    <row r="8" spans="1:3">
      <c r="A8" s="1"/>
      <c r="B8" s="1"/>
      <c r="C8" s="1"/>
    </row>
    <row r="10" spans="1:3">
      <c r="B10" s="33" t="s">
        <v>34</v>
      </c>
      <c r="C10" s="33"/>
    </row>
    <row r="11" spans="1:3">
      <c r="B11" s="2" t="s">
        <v>15</v>
      </c>
      <c r="C11" s="2" t="s">
        <v>16</v>
      </c>
    </row>
    <row r="12" spans="1:3">
      <c r="B12" s="1">
        <v>1.491898846</v>
      </c>
      <c r="C12" s="1">
        <v>2.1782854669999998</v>
      </c>
    </row>
    <row r="13" spans="1:3">
      <c r="B13" s="1">
        <v>0.82176298699999994</v>
      </c>
      <c r="C13" s="1">
        <v>2.203176392</v>
      </c>
    </row>
    <row r="14" spans="1:3">
      <c r="B14" s="1">
        <v>0.67575819699999995</v>
      </c>
      <c r="C14" s="1">
        <v>2.3636694220000001</v>
      </c>
    </row>
    <row r="15" spans="1:3">
      <c r="B15" s="1">
        <v>1.0105799689999999</v>
      </c>
      <c r="C15" s="1">
        <v>3.3745723870000002</v>
      </c>
    </row>
    <row r="16" spans="1:3">
      <c r="A16" s="1"/>
      <c r="B16" s="1"/>
      <c r="C16" s="1"/>
    </row>
    <row r="19" spans="1:3">
      <c r="B19" s="33" t="s">
        <v>35</v>
      </c>
      <c r="C19" s="33"/>
    </row>
    <row r="20" spans="1:3">
      <c r="B20" s="2" t="s">
        <v>15</v>
      </c>
      <c r="C20" s="2" t="s">
        <v>16</v>
      </c>
    </row>
    <row r="21" spans="1:3">
      <c r="B21" s="1">
        <v>0.90690418699999997</v>
      </c>
      <c r="C21" s="1">
        <v>1.1767274569999999</v>
      </c>
    </row>
    <row r="22" spans="1:3">
      <c r="B22" s="1">
        <v>1.152273391</v>
      </c>
      <c r="C22" s="1">
        <v>0.64877917500000004</v>
      </c>
    </row>
    <row r="23" spans="1:3">
      <c r="B23" s="1">
        <v>1.0985134480000001</v>
      </c>
      <c r="C23" s="1">
        <v>1.165245034</v>
      </c>
    </row>
    <row r="24" spans="1:3">
      <c r="B24" s="1">
        <v>0.84230897400000004</v>
      </c>
      <c r="C24" s="1">
        <v>1.0192895630000001</v>
      </c>
    </row>
    <row r="25" spans="1:3">
      <c r="A25" s="1"/>
      <c r="B25" s="1"/>
      <c r="C25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E30" sqref="E30"/>
    </sheetView>
  </sheetViews>
  <sheetFormatPr baseColWidth="10" defaultRowHeight="15" x14ac:dyDescent="0"/>
  <sheetData>
    <row r="1" spans="1:3">
      <c r="A1" s="6" t="s">
        <v>27</v>
      </c>
      <c r="B1" s="6"/>
      <c r="C1" s="6"/>
    </row>
    <row r="3" spans="1:3">
      <c r="B3" s="43"/>
      <c r="C3" s="43"/>
    </row>
    <row r="4" spans="1:3">
      <c r="A4" s="13"/>
      <c r="B4" s="14" t="s">
        <v>0</v>
      </c>
      <c r="C4" s="14" t="s">
        <v>28</v>
      </c>
    </row>
    <row r="5" spans="1:3">
      <c r="A5" s="9" t="s">
        <v>7</v>
      </c>
      <c r="B5" s="10">
        <v>3</v>
      </c>
      <c r="C5" s="10">
        <v>9</v>
      </c>
    </row>
    <row r="6" spans="1:3">
      <c r="A6" s="9" t="s">
        <v>29</v>
      </c>
      <c r="B6" s="10">
        <v>10</v>
      </c>
      <c r="C6" s="10">
        <v>2</v>
      </c>
    </row>
    <row r="7" spans="1:3">
      <c r="A7" s="6"/>
      <c r="B7" s="6"/>
      <c r="C7" s="6"/>
    </row>
    <row r="8" spans="1:3">
      <c r="A8" s="7" t="s">
        <v>6</v>
      </c>
      <c r="B8" s="8">
        <v>13</v>
      </c>
      <c r="C8" s="7">
        <v>11</v>
      </c>
    </row>
  </sheetData>
  <mergeCells count="1">
    <mergeCell ref="B3:C3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C31" sqref="C31"/>
    </sheetView>
  </sheetViews>
  <sheetFormatPr baseColWidth="10" defaultRowHeight="15" x14ac:dyDescent="0"/>
  <cols>
    <col min="2" max="2" width="21.1640625" customWidth="1"/>
    <col min="3" max="4" width="21.5" customWidth="1"/>
  </cols>
  <sheetData>
    <row r="1" spans="1:4">
      <c r="A1" s="6" t="s">
        <v>8</v>
      </c>
      <c r="B1" s="6"/>
      <c r="C1" s="6"/>
    </row>
    <row r="3" spans="1:4">
      <c r="B3" s="43"/>
      <c r="C3" s="43"/>
    </row>
    <row r="4" spans="1:4" ht="45">
      <c r="A4" s="13"/>
      <c r="B4" s="14" t="s">
        <v>13</v>
      </c>
      <c r="C4" s="14" t="s">
        <v>14</v>
      </c>
      <c r="D4" s="20" t="s">
        <v>50</v>
      </c>
    </row>
    <row r="5" spans="1:4">
      <c r="A5" s="9" t="s">
        <v>7</v>
      </c>
      <c r="B5" s="10">
        <v>13</v>
      </c>
      <c r="C5" s="10">
        <v>2</v>
      </c>
      <c r="D5" s="11">
        <v>1</v>
      </c>
    </row>
    <row r="6" spans="1:4">
      <c r="A6" s="9" t="s">
        <v>29</v>
      </c>
      <c r="B6" s="10">
        <v>3</v>
      </c>
      <c r="C6" s="10">
        <v>11</v>
      </c>
      <c r="D6" s="11">
        <v>6</v>
      </c>
    </row>
    <row r="7" spans="1:4">
      <c r="A7" s="6"/>
      <c r="B7" s="6"/>
      <c r="C7" s="6"/>
    </row>
    <row r="8" spans="1:4">
      <c r="A8" s="7" t="s">
        <v>6</v>
      </c>
      <c r="B8" s="8">
        <v>16</v>
      </c>
      <c r="C8" s="12">
        <v>13</v>
      </c>
      <c r="D8" s="11">
        <v>7</v>
      </c>
    </row>
  </sheetData>
  <mergeCells count="1">
    <mergeCell ref="B3:C3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D15" sqref="D15"/>
    </sheetView>
  </sheetViews>
  <sheetFormatPr baseColWidth="10" defaultRowHeight="15" x14ac:dyDescent="0"/>
  <cols>
    <col min="1" max="1" width="12" bestFit="1" customWidth="1"/>
    <col min="2" max="2" width="16.1640625" customWidth="1"/>
    <col min="3" max="3" width="17.6640625" bestFit="1" customWidth="1"/>
    <col min="6" max="6" width="27.6640625" bestFit="1" customWidth="1"/>
  </cols>
  <sheetData>
    <row r="1" spans="1:7">
      <c r="B1" t="s">
        <v>1</v>
      </c>
    </row>
    <row r="2" spans="1:7">
      <c r="B2" s="2" t="s">
        <v>0</v>
      </c>
      <c r="C2" s="34" t="s">
        <v>49</v>
      </c>
    </row>
    <row r="3" spans="1:7">
      <c r="B3" s="1">
        <v>358.06569999999999</v>
      </c>
      <c r="C3" s="1">
        <v>198.15610000000001</v>
      </c>
      <c r="F3" s="21"/>
      <c r="G3" s="21"/>
    </row>
    <row r="4" spans="1:7">
      <c r="B4" s="1"/>
      <c r="C4" s="1"/>
      <c r="F4" s="21"/>
      <c r="G4" s="1"/>
    </row>
    <row r="5" spans="1:7">
      <c r="B5" s="1">
        <v>235.06790000000001</v>
      </c>
      <c r="C5" s="1">
        <v>95.599559999999997</v>
      </c>
      <c r="F5" s="21"/>
      <c r="G5" s="1"/>
    </row>
    <row r="6" spans="1:7">
      <c r="B6" s="1"/>
      <c r="C6" s="1"/>
      <c r="F6" s="21"/>
      <c r="G6" s="1"/>
    </row>
    <row r="7" spans="1:7">
      <c r="B7" s="1">
        <v>184.61709999999999</v>
      </c>
      <c r="C7" s="1">
        <v>117.08880000000001</v>
      </c>
      <c r="F7" s="21"/>
      <c r="G7" s="1"/>
    </row>
    <row r="8" spans="1:7">
      <c r="B8" s="1"/>
      <c r="C8" s="1"/>
      <c r="F8" s="21"/>
      <c r="G8" s="1"/>
    </row>
    <row r="9" spans="1:7">
      <c r="B9" s="1">
        <v>205.3355</v>
      </c>
      <c r="C9" s="1">
        <v>171.4494</v>
      </c>
    </row>
    <row r="10" spans="1:7">
      <c r="B10" s="1"/>
      <c r="C10" s="1"/>
    </row>
    <row r="11" spans="1:7">
      <c r="B11" s="1">
        <v>341.39929999999998</v>
      </c>
      <c r="C11" s="1">
        <v>162.40710000000001</v>
      </c>
    </row>
    <row r="12" spans="1:7">
      <c r="A12" s="1"/>
      <c r="B12" s="1"/>
      <c r="C12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G31" sqref="G31"/>
    </sheetView>
  </sheetViews>
  <sheetFormatPr baseColWidth="10" defaultRowHeight="16" x14ac:dyDescent="0"/>
  <cols>
    <col min="1" max="1" width="3.1640625" style="3" bestFit="1" customWidth="1"/>
    <col min="2" max="3" width="10.83203125" style="3"/>
    <col min="4" max="4" width="22.33203125" style="3" bestFit="1" customWidth="1"/>
    <col min="5" max="5" width="8.33203125" style="3" customWidth="1"/>
    <col min="6" max="6" width="11.1640625" style="3" customWidth="1"/>
    <col min="7" max="7" width="21.83203125" style="3" customWidth="1"/>
    <col min="8" max="8" width="10.83203125" style="3"/>
    <col min="9" max="9" width="22.33203125" style="3" bestFit="1" customWidth="1"/>
    <col min="10" max="10" width="4.5" style="3" customWidth="1"/>
    <col min="11" max="11" width="16" style="3" bestFit="1" customWidth="1"/>
    <col min="12" max="16384" width="10.83203125" style="3"/>
  </cols>
  <sheetData>
    <row r="1" spans="1:12">
      <c r="A1" s="3" t="s">
        <v>17</v>
      </c>
      <c r="B1" s="3" t="s">
        <v>2</v>
      </c>
      <c r="F1" s="6" t="s">
        <v>43</v>
      </c>
      <c r="H1"/>
      <c r="I1"/>
    </row>
    <row r="2" spans="1:12">
      <c r="F2" s="6"/>
      <c r="H2"/>
      <c r="I2"/>
    </row>
    <row r="3" spans="1:12">
      <c r="B3" s="4"/>
      <c r="C3" s="4" t="s">
        <v>0</v>
      </c>
      <c r="D3" s="5" t="s">
        <v>3</v>
      </c>
      <c r="E3"/>
      <c r="F3" s="4" t="s">
        <v>0</v>
      </c>
      <c r="G3" s="5" t="s">
        <v>3</v>
      </c>
      <c r="H3"/>
      <c r="I3"/>
      <c r="K3"/>
    </row>
    <row r="4" spans="1:12">
      <c r="B4" s="4" t="s">
        <v>4</v>
      </c>
      <c r="C4" s="4">
        <v>1</v>
      </c>
      <c r="D4" s="4">
        <v>9</v>
      </c>
      <c r="E4"/>
      <c r="F4" s="4">
        <v>0</v>
      </c>
      <c r="G4" s="4">
        <v>1</v>
      </c>
      <c r="H4"/>
      <c r="I4"/>
      <c r="K4"/>
      <c r="L4" s="1"/>
    </row>
    <row r="5" spans="1:12">
      <c r="B5" s="4" t="s">
        <v>5</v>
      </c>
      <c r="C5" s="4">
        <v>10</v>
      </c>
      <c r="D5" s="4">
        <v>2</v>
      </c>
      <c r="E5"/>
      <c r="F5" s="4">
        <v>5</v>
      </c>
      <c r="G5" s="4">
        <v>8</v>
      </c>
      <c r="H5"/>
      <c r="I5"/>
      <c r="K5"/>
      <c r="L5" s="1"/>
    </row>
    <row r="6" spans="1:12">
      <c r="E6"/>
      <c r="H6"/>
      <c r="I6"/>
      <c r="K6"/>
      <c r="L6" s="1"/>
    </row>
    <row r="7" spans="1:12">
      <c r="B7" s="4" t="s">
        <v>6</v>
      </c>
      <c r="C7" s="4">
        <v>11</v>
      </c>
      <c r="D7" s="4">
        <v>11</v>
      </c>
      <c r="E7"/>
      <c r="F7" s="4">
        <v>5</v>
      </c>
      <c r="G7" s="4">
        <v>9</v>
      </c>
      <c r="H7"/>
      <c r="I7"/>
      <c r="K7"/>
      <c r="L7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8"/>
  <sheetViews>
    <sheetView workbookViewId="0">
      <selection activeCell="E21" sqref="E21"/>
    </sheetView>
  </sheetViews>
  <sheetFormatPr baseColWidth="10" defaultRowHeight="15" x14ac:dyDescent="0"/>
  <cols>
    <col min="4" max="4" width="12.5" bestFit="1" customWidth="1"/>
    <col min="5" max="5" width="14.1640625" customWidth="1"/>
  </cols>
  <sheetData>
    <row r="1" spans="2:5">
      <c r="B1" s="6" t="s">
        <v>48</v>
      </c>
      <c r="C1" s="6"/>
      <c r="D1" s="6"/>
    </row>
    <row r="3" spans="2:5">
      <c r="C3" s="43"/>
      <c r="D3" s="43"/>
    </row>
    <row r="4" spans="2:5" ht="30">
      <c r="B4" s="13"/>
      <c r="C4" s="14" t="s">
        <v>9</v>
      </c>
      <c r="D4" s="19" t="s">
        <v>46</v>
      </c>
      <c r="E4" s="14" t="s">
        <v>47</v>
      </c>
    </row>
    <row r="5" spans="2:5">
      <c r="B5" s="9" t="s">
        <v>7</v>
      </c>
      <c r="C5" s="10">
        <v>0</v>
      </c>
      <c r="D5" s="10">
        <v>0</v>
      </c>
      <c r="E5" s="11">
        <v>7</v>
      </c>
    </row>
    <row r="6" spans="2:5">
      <c r="B6" s="9" t="s">
        <v>29</v>
      </c>
      <c r="C6" s="10">
        <v>10</v>
      </c>
      <c r="D6" s="10">
        <v>10</v>
      </c>
      <c r="E6" s="11">
        <v>3</v>
      </c>
    </row>
    <row r="7" spans="2:5">
      <c r="B7" s="6"/>
      <c r="C7" s="6"/>
      <c r="D7" s="6"/>
    </row>
    <row r="8" spans="2:5">
      <c r="B8" s="7" t="s">
        <v>6</v>
      </c>
      <c r="C8" s="7">
        <v>10</v>
      </c>
      <c r="D8" s="7">
        <v>10</v>
      </c>
      <c r="E8" s="7">
        <v>10</v>
      </c>
    </row>
  </sheetData>
  <mergeCells count="1">
    <mergeCell ref="C3:D3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8"/>
  <sheetViews>
    <sheetView workbookViewId="0">
      <selection activeCell="H32" sqref="H32"/>
    </sheetView>
  </sheetViews>
  <sheetFormatPr baseColWidth="10" defaultRowHeight="15" x14ac:dyDescent="0"/>
  <cols>
    <col min="4" max="4" width="20.5" bestFit="1" customWidth="1"/>
  </cols>
  <sheetData>
    <row r="1" spans="2:4">
      <c r="B1" s="6" t="s">
        <v>30</v>
      </c>
      <c r="C1" s="6"/>
      <c r="D1" s="6"/>
    </row>
    <row r="2" spans="2:4">
      <c r="B2" s="6"/>
      <c r="C2" s="6"/>
      <c r="D2" s="6"/>
    </row>
    <row r="3" spans="2:4">
      <c r="B3" s="6"/>
      <c r="C3" s="44"/>
      <c r="D3" s="44"/>
    </row>
    <row r="4" spans="2:4">
      <c r="B4" s="13"/>
      <c r="C4" s="31" t="s">
        <v>31</v>
      </c>
      <c r="D4" s="10" t="s">
        <v>32</v>
      </c>
    </row>
    <row r="5" spans="2:4">
      <c r="B5" s="9" t="s">
        <v>7</v>
      </c>
      <c r="C5" s="10">
        <v>2</v>
      </c>
      <c r="D5" s="10">
        <v>5</v>
      </c>
    </row>
    <row r="6" spans="2:4">
      <c r="B6" s="9" t="s">
        <v>29</v>
      </c>
      <c r="C6" s="10">
        <v>10</v>
      </c>
      <c r="D6" s="10">
        <v>1</v>
      </c>
    </row>
    <row r="7" spans="2:4">
      <c r="B7" s="6"/>
      <c r="C7" s="6"/>
      <c r="D7" s="6"/>
    </row>
    <row r="8" spans="2:4">
      <c r="B8" s="7" t="s">
        <v>6</v>
      </c>
      <c r="C8" s="8">
        <v>12</v>
      </c>
      <c r="D8" s="8">
        <v>6</v>
      </c>
    </row>
  </sheetData>
  <mergeCells count="1">
    <mergeCell ref="C3:D3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9"/>
  <sheetViews>
    <sheetView workbookViewId="0">
      <selection activeCell="I29" sqref="I29"/>
    </sheetView>
  </sheetViews>
  <sheetFormatPr baseColWidth="10" defaultRowHeight="15" x14ac:dyDescent="0"/>
  <sheetData>
    <row r="2" spans="2:5">
      <c r="B2" s="6" t="s">
        <v>44</v>
      </c>
      <c r="C2" s="6"/>
      <c r="D2" s="6"/>
      <c r="E2" s="6"/>
    </row>
    <row r="3" spans="2:5">
      <c r="E3" s="6"/>
    </row>
    <row r="4" spans="2:5">
      <c r="C4" s="43"/>
      <c r="D4" s="43"/>
      <c r="E4" s="6"/>
    </row>
    <row r="5" spans="2:5" ht="90">
      <c r="B5" s="13"/>
      <c r="C5" s="14" t="s">
        <v>10</v>
      </c>
      <c r="D5" s="16" t="s">
        <v>45</v>
      </c>
      <c r="E5" s="15"/>
    </row>
    <row r="6" spans="2:5">
      <c r="B6" s="9" t="s">
        <v>7</v>
      </c>
      <c r="C6" s="10">
        <v>9</v>
      </c>
      <c r="D6" s="10">
        <v>0</v>
      </c>
      <c r="E6" s="6"/>
    </row>
    <row r="7" spans="2:5">
      <c r="B7" s="9" t="s">
        <v>29</v>
      </c>
      <c r="C7" s="10">
        <v>1</v>
      </c>
      <c r="D7" s="10">
        <v>10</v>
      </c>
      <c r="E7" s="6"/>
    </row>
    <row r="8" spans="2:5">
      <c r="B8" s="6"/>
      <c r="C8" s="6"/>
      <c r="D8" s="6"/>
    </row>
    <row r="9" spans="2:5">
      <c r="B9" s="7" t="s">
        <v>6</v>
      </c>
      <c r="C9" s="8">
        <v>10</v>
      </c>
      <c r="D9" s="7">
        <v>10</v>
      </c>
    </row>
  </sheetData>
  <mergeCells count="1">
    <mergeCell ref="C4:D4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9"/>
  <sheetViews>
    <sheetView workbookViewId="0">
      <selection activeCell="H17" sqref="H17"/>
    </sheetView>
  </sheetViews>
  <sheetFormatPr baseColWidth="10" defaultRowHeight="15" x14ac:dyDescent="0"/>
  <cols>
    <col min="7" max="7" width="12.6640625" customWidth="1"/>
    <col min="8" max="8" width="11.6640625" customWidth="1"/>
  </cols>
  <sheetData>
    <row r="2" spans="2:11">
      <c r="B2" s="6" t="s">
        <v>27</v>
      </c>
      <c r="C2" s="6"/>
      <c r="D2" s="6"/>
      <c r="G2" s="6" t="s">
        <v>43</v>
      </c>
    </row>
    <row r="4" spans="2:11">
      <c r="C4" s="45" t="s">
        <v>9</v>
      </c>
      <c r="D4" s="46"/>
      <c r="G4" s="45" t="s">
        <v>42</v>
      </c>
      <c r="H4" s="46"/>
    </row>
    <row r="5" spans="2:11" ht="45">
      <c r="B5" s="13"/>
      <c r="C5" s="14" t="s">
        <v>11</v>
      </c>
      <c r="D5" s="16" t="s">
        <v>12</v>
      </c>
      <c r="G5" s="13" t="s">
        <v>11</v>
      </c>
      <c r="H5" s="18" t="s">
        <v>12</v>
      </c>
    </row>
    <row r="6" spans="2:11">
      <c r="B6" s="9" t="s">
        <v>7</v>
      </c>
      <c r="C6" s="10">
        <v>2</v>
      </c>
      <c r="D6" s="10">
        <v>8</v>
      </c>
      <c r="G6" s="11">
        <v>0</v>
      </c>
      <c r="H6" s="17">
        <v>0</v>
      </c>
      <c r="K6" s="1"/>
    </row>
    <row r="7" spans="2:11">
      <c r="B7" s="9" t="s">
        <v>29</v>
      </c>
      <c r="C7" s="10">
        <v>9</v>
      </c>
      <c r="D7" s="10">
        <v>1</v>
      </c>
      <c r="G7" s="11">
        <v>11</v>
      </c>
      <c r="H7" s="17">
        <v>10</v>
      </c>
      <c r="K7" s="1"/>
    </row>
    <row r="8" spans="2:11">
      <c r="B8" s="6"/>
      <c r="C8" s="6"/>
      <c r="D8" s="6"/>
      <c r="K8" s="1"/>
    </row>
    <row r="9" spans="2:11">
      <c r="B9" s="7" t="s">
        <v>6</v>
      </c>
      <c r="C9" s="8">
        <v>11</v>
      </c>
      <c r="D9" s="7">
        <v>9</v>
      </c>
      <c r="G9" s="11">
        <v>11</v>
      </c>
      <c r="H9" s="17">
        <v>10</v>
      </c>
      <c r="K9" s="1"/>
    </row>
  </sheetData>
  <mergeCells count="2">
    <mergeCell ref="C4:D4"/>
    <mergeCell ref="G4:H4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4a</vt:lpstr>
      <vt:lpstr>4c</vt:lpstr>
      <vt:lpstr>4e</vt:lpstr>
      <vt:lpstr>4f</vt:lpstr>
      <vt:lpstr>4g</vt:lpstr>
      <vt:lpstr>4h</vt:lpstr>
      <vt:lpstr>4i</vt:lpstr>
      <vt:lpstr>4j</vt:lpstr>
      <vt:lpstr>4k</vt:lpstr>
      <vt:lpstr>4l</vt:lpstr>
      <vt:lpstr>4m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Badimon</dc:creator>
  <cp:lastModifiedBy>Ana Badimon</cp:lastModifiedBy>
  <dcterms:created xsi:type="dcterms:W3CDTF">2020-02-15T20:21:10Z</dcterms:created>
  <dcterms:modified xsi:type="dcterms:W3CDTF">2020-07-01T17:31:55Z</dcterms:modified>
</cp:coreProperties>
</file>